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s\Desktop\All quant workshop\Market Risk\Tracking error\Expost TE-Enhanced, Security wide TE attribution\"/>
    </mc:Choice>
  </mc:AlternateContent>
  <xr:revisionPtr revIDLastSave="0" documentId="13_ncr:1_{F779B97E-C7E5-4247-BCE7-58DB5D7E57BA}" xr6:coauthVersionLast="47" xr6:coauthVersionMax="47" xr10:uidLastSave="{00000000-0000-0000-0000-000000000000}"/>
  <bookViews>
    <workbookView xWindow="-110" yWindow="-110" windowWidth="19420" windowHeight="10300" xr2:uid="{23302A4B-C99F-4E6E-AE98-79A028567345}"/>
  </bookViews>
  <sheets>
    <sheet name="Sheet1" sheetId="1" r:id="rId1"/>
    <sheet name="Sheet2" sheetId="2" r:id="rId2"/>
  </sheets>
  <definedNames>
    <definedName name="_xlnm._FilterDatabase" localSheetId="0" hidden="1">Sheet1!$A$1:$U$27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9" i="1"/>
  <c r="E10" i="1"/>
  <c r="E11" i="1"/>
  <c r="E12" i="1"/>
  <c r="E13" i="1"/>
  <c r="E14" i="1"/>
  <c r="E21" i="1"/>
  <c r="E22" i="1"/>
  <c r="E23" i="1"/>
  <c r="E24" i="1"/>
  <c r="E25" i="1"/>
  <c r="E26" i="1"/>
  <c r="E27" i="1"/>
  <c r="J5" i="2"/>
  <c r="J4" i="2"/>
  <c r="F5" i="2"/>
</calcChain>
</file>

<file path=xl/sharedStrings.xml><?xml version="1.0" encoding="utf-8"?>
<sst xmlns="http://schemas.openxmlformats.org/spreadsheetml/2006/main" count="377" uniqueCount="92">
  <si>
    <t>Security</t>
  </si>
  <si>
    <t>Rating</t>
  </si>
  <si>
    <t>Maturity</t>
  </si>
  <si>
    <t>Apple 2027 Bond</t>
  </si>
  <si>
    <t>ICE BofA Single-A US Corporate Index OAS (BAMLC0A3CA)</t>
  </si>
  <si>
    <t>Microsoft 2028 Bond</t>
  </si>
  <si>
    <t>JPMorgan 2026 Bond</t>
  </si>
  <si>
    <t>Verizon 2029 Bond</t>
  </si>
  <si>
    <t>ICE BofA BBB US Corporate Index OAS (BAMLC0A4CBBB)</t>
  </si>
  <si>
    <t>Pfizer 2030 Bond</t>
  </si>
  <si>
    <t>Walmart 2027 Bond</t>
  </si>
  <si>
    <t>Chevron 2029 Bond</t>
  </si>
  <si>
    <t>Caterpillar 2028 Bond</t>
  </si>
  <si>
    <t>Boeing 2030 Bond</t>
  </si>
  <si>
    <t>Procter &amp; Gamble 2026 Bond</t>
  </si>
  <si>
    <t>Johnson &amp; Johnson 2027 Bond</t>
  </si>
  <si>
    <t>Oracle 2028 Bond</t>
  </si>
  <si>
    <t>Intel 2029 Bond</t>
  </si>
  <si>
    <t>Coupon</t>
  </si>
  <si>
    <t>Position Type</t>
  </si>
  <si>
    <t>OAS curve</t>
  </si>
  <si>
    <t>Treasury Rate</t>
  </si>
  <si>
    <t>ISIN</t>
  </si>
  <si>
    <t>FIGI</t>
  </si>
  <si>
    <t>Assigned FRED Index</t>
  </si>
  <si>
    <t>Justification</t>
  </si>
  <si>
    <t>ETF proxy</t>
  </si>
  <si>
    <t>ETF Name</t>
  </si>
  <si>
    <t>Reasoning</t>
  </si>
  <si>
    <t>Bond</t>
  </si>
  <si>
    <t>AA_OAS</t>
  </si>
  <si>
    <t>2Y_Treasury</t>
  </si>
  <si>
    <t>US037833CR93</t>
  </si>
  <si>
    <t>ICE BofA AA US Corporate Index OAS (BAMLC0A2CAA)</t>
  </si>
  <si>
    <t>High-quality issuer with AA rating; aligns with AA-rated corporate bonds.</t>
  </si>
  <si>
    <t>SPIB</t>
  </si>
  <si>
    <t>SPDR Portfolio Intermediate Term Corporate Bond ETF</t>
  </si>
  <si>
    <t>Short-intermediate duration A-rated</t>
  </si>
  <si>
    <t>AAA_OAS</t>
  </si>
  <si>
    <t>3Y_Treasury</t>
  </si>
  <si>
    <t>XS1001749289</t>
  </si>
  <si>
    <t>ICE BofA AAA US Corporate Index OAS (BAMLC0A1CAAA)</t>
  </si>
  <si>
    <t>Top-tier credit rating; matches AAA-rated corporate bonds.</t>
  </si>
  <si>
    <t>IGIB</t>
  </si>
  <si>
    <t>iShares Intermediate-Term Corporate Bond ETF</t>
  </si>
  <si>
    <t>Intermediate Aaa-rated bond</t>
  </si>
  <si>
    <t>A_OAS</t>
  </si>
  <si>
    <t>US46625HRS12</t>
  </si>
  <si>
    <t>A-rated financial institution; fits within Single-A category.</t>
  </si>
  <si>
    <t>Short A-rated financial</t>
  </si>
  <si>
    <t>BBB_OAS</t>
  </si>
  <si>
    <t>4Y_Treasury</t>
  </si>
  <si>
    <t>US645767AW49</t>
  </si>
  <si>
    <t>BBB-rated telecom company; aligns with BBB-rated corporate bonds.</t>
  </si>
  <si>
    <t>Intermediate BBB telecom</t>
  </si>
  <si>
    <t>5Y_Treasury</t>
  </si>
  <si>
    <t>BBG01GNJ4564</t>
  </si>
  <si>
    <t>A-rated pharmaceutical firm; matches Single-A category.</t>
  </si>
  <si>
    <t>Intermediate A-rated healthcare</t>
  </si>
  <si>
    <t>US931142EX77</t>
  </si>
  <si>
    <t>BBG019J0FP42</t>
  </si>
  <si>
    <t>AA-rated retailer; fits within AA-rated corporate bonds.</t>
  </si>
  <si>
    <t>Short AA-rated retail</t>
  </si>
  <si>
    <t>AA-rated energy company; aligns with AA-rated corporate bonds.</t>
  </si>
  <si>
    <t>Intermediate AA-rated energy</t>
  </si>
  <si>
    <t>US166756AS52</t>
  </si>
  <si>
    <t>BBG00YRVW378</t>
  </si>
  <si>
    <t>A-rated industrial firm; matches Single-A category.</t>
  </si>
  <si>
    <t>Intermediate A-rated industrial</t>
  </si>
  <si>
    <t>BBB-rated aerospace company; fits within BBB-rated corporate bonds.</t>
  </si>
  <si>
    <t>Intermediate BBB aerospace</t>
  </si>
  <si>
    <t>AA-rated consumer goods firm; aligns with AA-rated corporate bonds.</t>
  </si>
  <si>
    <t>Short AA-rated consumer staples</t>
  </si>
  <si>
    <t>AAA-rated healthcare company; matches AAA-rated corporate bonds.</t>
  </si>
  <si>
    <t>Short AAA-rated healthcare</t>
  </si>
  <si>
    <t>A-rated tech firm; fits within Single-A category.</t>
  </si>
  <si>
    <t>Intermediate A-rated tech</t>
  </si>
  <si>
    <t>A-rated semiconductor company; aligns with Single-A category.</t>
  </si>
  <si>
    <t>Intermediate A-rated semiconductor</t>
  </si>
  <si>
    <t>6Y_Treasury</t>
  </si>
  <si>
    <t>Issue Date</t>
  </si>
  <si>
    <t>Portfolio/Benchmark</t>
  </si>
  <si>
    <t>Portfolio</t>
  </si>
  <si>
    <t>Benchmark</t>
  </si>
  <si>
    <t>Call date</t>
  </si>
  <si>
    <t>Weight</t>
  </si>
  <si>
    <t>Portfolio Base currency</t>
  </si>
  <si>
    <t>Holding currency</t>
  </si>
  <si>
    <t>EUR</t>
  </si>
  <si>
    <t>USD</t>
  </si>
  <si>
    <t>A</t>
  </si>
  <si>
    <t>Notional in holding 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</si>
</sst>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red.stlouisfed.org/series/BAMLC0A3CA" TargetMode="External"/><Relationship Id="rId13" Type="http://schemas.openxmlformats.org/officeDocument/2006/relationships/hyperlink" Target="https://fred.stlouisfed.org/series/BAMLC0A3CA" TargetMode="External"/><Relationship Id="rId18" Type="http://schemas.openxmlformats.org/officeDocument/2006/relationships/hyperlink" Target="https://fred.stlouisfed.org/series/BAMLC0A3CA" TargetMode="External"/><Relationship Id="rId26" Type="http://schemas.openxmlformats.org/officeDocument/2006/relationships/hyperlink" Target="https://fred.stlouisfed.org/series/BAMLC0A3CA" TargetMode="External"/><Relationship Id="rId3" Type="http://schemas.openxmlformats.org/officeDocument/2006/relationships/hyperlink" Target="https://fred.stlouisfed.org/series/BAMLC0A3CA" TargetMode="External"/><Relationship Id="rId21" Type="http://schemas.openxmlformats.org/officeDocument/2006/relationships/hyperlink" Target="https://fred.stlouisfed.org/series/BAMLC0A3CA" TargetMode="External"/><Relationship Id="rId7" Type="http://schemas.openxmlformats.org/officeDocument/2006/relationships/hyperlink" Target="https://fred.stlouisfed.org/series/BAMLC0A2CAA" TargetMode="External"/><Relationship Id="rId12" Type="http://schemas.openxmlformats.org/officeDocument/2006/relationships/hyperlink" Target="https://fred.stlouisfed.org/series/BAMLC0A3CA" TargetMode="External"/><Relationship Id="rId17" Type="http://schemas.openxmlformats.org/officeDocument/2006/relationships/hyperlink" Target="https://fred.stlouisfed.org/series/BAMLC0A4CBBB" TargetMode="External"/><Relationship Id="rId25" Type="http://schemas.openxmlformats.org/officeDocument/2006/relationships/hyperlink" Target="https://fred.stlouisfed.org/series/BAMLC0A3CA" TargetMode="External"/><Relationship Id="rId2" Type="http://schemas.openxmlformats.org/officeDocument/2006/relationships/hyperlink" Target="https://fred.stlouisfed.org/series/BAMLC0A1CAAA" TargetMode="External"/><Relationship Id="rId16" Type="http://schemas.openxmlformats.org/officeDocument/2006/relationships/hyperlink" Target="https://fred.stlouisfed.org/series/BAMLC0A3CA" TargetMode="External"/><Relationship Id="rId20" Type="http://schemas.openxmlformats.org/officeDocument/2006/relationships/hyperlink" Target="https://fred.stlouisfed.org/series/BAMLC0A2CAA" TargetMode="External"/><Relationship Id="rId1" Type="http://schemas.openxmlformats.org/officeDocument/2006/relationships/hyperlink" Target="https://fred.stlouisfed.org/series/BAMLC0A2CAA" TargetMode="External"/><Relationship Id="rId6" Type="http://schemas.openxmlformats.org/officeDocument/2006/relationships/hyperlink" Target="https://fred.stlouisfed.org/series/BAMLC0A2CAA" TargetMode="External"/><Relationship Id="rId11" Type="http://schemas.openxmlformats.org/officeDocument/2006/relationships/hyperlink" Target="https://fred.stlouisfed.org/series/BAMLC0A1CAAA" TargetMode="External"/><Relationship Id="rId24" Type="http://schemas.openxmlformats.org/officeDocument/2006/relationships/hyperlink" Target="https://fred.stlouisfed.org/series/BAMLC0A1CAAA" TargetMode="External"/><Relationship Id="rId5" Type="http://schemas.openxmlformats.org/officeDocument/2006/relationships/hyperlink" Target="https://fred.stlouisfed.org/series/BAMLC0A3CA" TargetMode="External"/><Relationship Id="rId15" Type="http://schemas.openxmlformats.org/officeDocument/2006/relationships/hyperlink" Target="https://fred.stlouisfed.org/series/BAMLC0A1CAAA" TargetMode="External"/><Relationship Id="rId23" Type="http://schemas.openxmlformats.org/officeDocument/2006/relationships/hyperlink" Target="https://fred.stlouisfed.org/series/BAMLC0A2CAA" TargetMode="External"/><Relationship Id="rId10" Type="http://schemas.openxmlformats.org/officeDocument/2006/relationships/hyperlink" Target="https://fred.stlouisfed.org/series/BAMLC0A2CAA" TargetMode="External"/><Relationship Id="rId19" Type="http://schemas.openxmlformats.org/officeDocument/2006/relationships/hyperlink" Target="https://fred.stlouisfed.org/series/BAMLC0A2CAA" TargetMode="External"/><Relationship Id="rId4" Type="http://schemas.openxmlformats.org/officeDocument/2006/relationships/hyperlink" Target="https://fred.stlouisfed.org/series/BAMLC0A4CBBB" TargetMode="External"/><Relationship Id="rId9" Type="http://schemas.openxmlformats.org/officeDocument/2006/relationships/hyperlink" Target="https://fred.stlouisfed.org/series/BAMLC0A4CBBB" TargetMode="External"/><Relationship Id="rId14" Type="http://schemas.openxmlformats.org/officeDocument/2006/relationships/hyperlink" Target="https://fred.stlouisfed.org/series/BAMLC0A2CAA" TargetMode="External"/><Relationship Id="rId22" Type="http://schemas.openxmlformats.org/officeDocument/2006/relationships/hyperlink" Target="https://fred.stlouisfed.org/series/BAMLC0A4CBBB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CE96D-2140-4180-9FDA-316C4631C0C3}">
  <dimension ref="A1:U27"/>
  <sheetViews>
    <sheetView tabSelected="1" workbookViewId="0">
      <pane ySplit="1" topLeftCell="A2" activePane="bottomLeft" state="frozen"/>
      <selection pane="bottomLeft" activeCell="E1" sqref="E1"/>
    </sheetView>
  </sheetViews>
  <sheetFormatPr defaultColWidth="17.36328125" defaultRowHeight="25.75" customHeight="1" x14ac:dyDescent="0.35"/>
  <cols>
    <col min="2" max="2" width="25.36328125" customWidth="1"/>
    <col min="6" max="10" width="11.36328125" customWidth="1"/>
    <col min="17" max="17" width="48" bestFit="1" customWidth="1"/>
    <col min="18" max="18" width="33.36328125" bestFit="1" customWidth="1"/>
    <col min="19" max="19" width="12.54296875" customWidth="1"/>
    <col min="20" max="20" width="30" customWidth="1"/>
  </cols>
  <sheetData>
    <row r="1" spans="1:21" ht="38.4" customHeight="1" x14ac:dyDescent="0.35">
      <c r="A1" s="1" t="s">
        <v>0</v>
      </c>
      <c r="B1" s="1" t="s">
        <v>81</v>
      </c>
      <c r="C1" s="1" t="s">
        <v>19</v>
      </c>
      <c r="D1" s="1" t="s">
        <v>85</v>
      </c>
      <c r="E1" s="1" t="s">
        <v>91</v>
      </c>
      <c r="F1" s="1" t="s">
        <v>1</v>
      </c>
      <c r="G1" s="1" t="s">
        <v>86</v>
      </c>
      <c r="H1" s="1" t="s">
        <v>87</v>
      </c>
      <c r="I1" s="1" t="s">
        <v>80</v>
      </c>
      <c r="J1" s="1" t="s">
        <v>84</v>
      </c>
      <c r="K1" s="1" t="s">
        <v>2</v>
      </c>
      <c r="L1" s="1" t="s">
        <v>18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2" t="s">
        <v>27</v>
      </c>
      <c r="U1" s="2" t="s">
        <v>28</v>
      </c>
    </row>
    <row r="2" spans="1:21" ht="38.4" customHeight="1" x14ac:dyDescent="0.35">
      <c r="A2" s="3" t="s">
        <v>3</v>
      </c>
      <c r="B2" s="3" t="s">
        <v>82</v>
      </c>
      <c r="C2" s="3" t="s">
        <v>29</v>
      </c>
      <c r="D2" s="3">
        <v>7.4999999999999997E-2</v>
      </c>
      <c r="E2" s="3">
        <v>81000</v>
      </c>
      <c r="F2" s="4" t="s">
        <v>90</v>
      </c>
      <c r="G2" s="4" t="s">
        <v>88</v>
      </c>
      <c r="H2" s="4" t="s">
        <v>89</v>
      </c>
      <c r="I2" s="5">
        <v>44910</v>
      </c>
      <c r="J2" s="5">
        <v>46371</v>
      </c>
      <c r="K2" s="5">
        <v>46513</v>
      </c>
      <c r="L2">
        <v>3.2</v>
      </c>
      <c r="M2" t="s">
        <v>30</v>
      </c>
      <c r="N2" t="s">
        <v>39</v>
      </c>
      <c r="O2" t="s">
        <v>32</v>
      </c>
      <c r="Q2" s="6" t="s">
        <v>33</v>
      </c>
      <c r="R2" s="4" t="s">
        <v>34</v>
      </c>
      <c r="S2" t="s">
        <v>35</v>
      </c>
      <c r="T2" t="s">
        <v>36</v>
      </c>
      <c r="U2" t="s">
        <v>37</v>
      </c>
    </row>
    <row r="3" spans="1:21" ht="38.4" customHeight="1" x14ac:dyDescent="0.35">
      <c r="A3" s="3" t="s">
        <v>5</v>
      </c>
      <c r="B3" s="3" t="s">
        <v>82</v>
      </c>
      <c r="C3" s="3" t="s">
        <v>29</v>
      </c>
      <c r="D3" s="3">
        <v>0.04</v>
      </c>
      <c r="E3" s="3">
        <v>43200</v>
      </c>
      <c r="F3" s="4" t="s">
        <v>90</v>
      </c>
      <c r="G3" s="4" t="s">
        <v>88</v>
      </c>
      <c r="H3" s="4" t="s">
        <v>89</v>
      </c>
      <c r="I3" s="5">
        <v>44910</v>
      </c>
      <c r="J3" s="5">
        <v>46371</v>
      </c>
      <c r="K3" s="5">
        <v>46795</v>
      </c>
      <c r="L3">
        <v>3.125</v>
      </c>
      <c r="M3" t="s">
        <v>38</v>
      </c>
      <c r="N3" t="s">
        <v>51</v>
      </c>
      <c r="O3" t="s">
        <v>40</v>
      </c>
      <c r="Q3" s="6" t="s">
        <v>41</v>
      </c>
      <c r="R3" s="4" t="s">
        <v>42</v>
      </c>
      <c r="S3" t="s">
        <v>43</v>
      </c>
      <c r="T3" t="s">
        <v>44</v>
      </c>
      <c r="U3" t="s">
        <v>45</v>
      </c>
    </row>
    <row r="4" spans="1:21" ht="38.4" customHeight="1" x14ac:dyDescent="0.35">
      <c r="A4" s="3" t="s">
        <v>6</v>
      </c>
      <c r="B4" s="3" t="s">
        <v>82</v>
      </c>
      <c r="C4" s="3" t="s">
        <v>29</v>
      </c>
      <c r="D4" s="3">
        <v>0.09</v>
      </c>
      <c r="E4" s="3">
        <v>97200</v>
      </c>
      <c r="F4" s="4" t="s">
        <v>90</v>
      </c>
      <c r="G4" s="4" t="s">
        <v>88</v>
      </c>
      <c r="H4" s="4" t="s">
        <v>89</v>
      </c>
      <c r="I4" s="5">
        <v>44910</v>
      </c>
      <c r="J4" s="5">
        <v>46037</v>
      </c>
      <c r="K4" s="5">
        <v>46188</v>
      </c>
      <c r="L4">
        <v>3.2</v>
      </c>
      <c r="M4" t="s">
        <v>46</v>
      </c>
      <c r="N4" t="s">
        <v>31</v>
      </c>
      <c r="O4" t="s">
        <v>47</v>
      </c>
      <c r="Q4" s="6" t="s">
        <v>4</v>
      </c>
      <c r="R4" s="4" t="s">
        <v>48</v>
      </c>
      <c r="S4" t="s">
        <v>35</v>
      </c>
      <c r="T4" t="s">
        <v>36</v>
      </c>
      <c r="U4" t="s">
        <v>49</v>
      </c>
    </row>
    <row r="5" spans="1:21" ht="38.4" customHeight="1" x14ac:dyDescent="0.35">
      <c r="A5" s="3" t="s">
        <v>7</v>
      </c>
      <c r="B5" s="3" t="s">
        <v>82</v>
      </c>
      <c r="C5" s="3" t="s">
        <v>29</v>
      </c>
      <c r="D5" s="3">
        <v>0.02</v>
      </c>
      <c r="E5" s="3">
        <v>21600</v>
      </c>
      <c r="F5" s="4" t="s">
        <v>90</v>
      </c>
      <c r="G5" s="4" t="s">
        <v>88</v>
      </c>
      <c r="H5" s="4" t="s">
        <v>89</v>
      </c>
      <c r="I5" s="5">
        <v>44910</v>
      </c>
      <c r="J5" s="5">
        <v>46371</v>
      </c>
      <c r="K5" s="5">
        <v>47442</v>
      </c>
      <c r="L5">
        <v>7.85</v>
      </c>
      <c r="M5" t="s">
        <v>50</v>
      </c>
      <c r="N5" t="s">
        <v>55</v>
      </c>
      <c r="O5" s="7" t="s">
        <v>52</v>
      </c>
      <c r="P5" s="7"/>
      <c r="Q5" s="6" t="s">
        <v>8</v>
      </c>
      <c r="R5" s="4" t="s">
        <v>53</v>
      </c>
      <c r="S5" t="s">
        <v>43</v>
      </c>
      <c r="T5" t="s">
        <v>44</v>
      </c>
      <c r="U5" t="s">
        <v>54</v>
      </c>
    </row>
    <row r="6" spans="1:21" ht="38.4" customHeight="1" x14ac:dyDescent="0.35">
      <c r="A6" s="3" t="s">
        <v>9</v>
      </c>
      <c r="B6" s="3" t="s">
        <v>82</v>
      </c>
      <c r="C6" s="3" t="s">
        <v>29</v>
      </c>
      <c r="D6" s="3">
        <v>0.05</v>
      </c>
      <c r="E6" s="3">
        <v>54000</v>
      </c>
      <c r="F6" s="4" t="s">
        <v>90</v>
      </c>
      <c r="G6" s="4" t="s">
        <v>88</v>
      </c>
      <c r="H6" s="4" t="s">
        <v>89</v>
      </c>
      <c r="I6" s="5">
        <v>44910</v>
      </c>
      <c r="J6" s="5">
        <v>46371</v>
      </c>
      <c r="K6" s="5">
        <v>47736</v>
      </c>
      <c r="L6">
        <v>4.6399999999999997</v>
      </c>
      <c r="M6" t="s">
        <v>46</v>
      </c>
      <c r="N6" t="s">
        <v>79</v>
      </c>
      <c r="O6" s="5"/>
      <c r="P6" s="7" t="s">
        <v>56</v>
      </c>
      <c r="Q6" s="6" t="s">
        <v>4</v>
      </c>
      <c r="R6" s="4" t="s">
        <v>57</v>
      </c>
      <c r="S6" t="s">
        <v>43</v>
      </c>
      <c r="T6" t="s">
        <v>44</v>
      </c>
      <c r="U6" t="s">
        <v>58</v>
      </c>
    </row>
    <row r="7" spans="1:21" ht="38.4" customHeight="1" x14ac:dyDescent="0.35">
      <c r="A7" s="3" t="s">
        <v>10</v>
      </c>
      <c r="B7" s="3" t="s">
        <v>82</v>
      </c>
      <c r="C7" s="3" t="s">
        <v>29</v>
      </c>
      <c r="D7" s="3">
        <v>0.08</v>
      </c>
      <c r="E7" s="3">
        <v>86400</v>
      </c>
      <c r="F7" s="4" t="s">
        <v>90</v>
      </c>
      <c r="G7" s="4" t="s">
        <v>88</v>
      </c>
      <c r="H7" s="4" t="s">
        <v>89</v>
      </c>
      <c r="I7" s="5">
        <v>44910</v>
      </c>
      <c r="J7" s="5">
        <v>46371</v>
      </c>
      <c r="K7" s="5">
        <v>46645</v>
      </c>
      <c r="L7">
        <v>3.95</v>
      </c>
      <c r="M7" t="s">
        <v>30</v>
      </c>
      <c r="N7" t="s">
        <v>39</v>
      </c>
      <c r="O7" s="7" t="s">
        <v>59</v>
      </c>
      <c r="P7" s="7" t="s">
        <v>60</v>
      </c>
      <c r="Q7" s="6" t="s">
        <v>33</v>
      </c>
      <c r="R7" s="4" t="s">
        <v>61</v>
      </c>
      <c r="S7" t="s">
        <v>35</v>
      </c>
      <c r="T7" t="s">
        <v>36</v>
      </c>
      <c r="U7" t="s">
        <v>62</v>
      </c>
    </row>
    <row r="8" spans="1:21" ht="38.4" customHeight="1" x14ac:dyDescent="0.35">
      <c r="A8" s="3" t="s">
        <v>11</v>
      </c>
      <c r="B8" s="3" t="s">
        <v>82</v>
      </c>
      <c r="C8" s="3" t="s">
        <v>29</v>
      </c>
      <c r="D8" s="3">
        <v>0.08</v>
      </c>
      <c r="E8" s="3">
        <f t="shared" ref="E8:E27" si="0">D8*1000000</f>
        <v>80000</v>
      </c>
      <c r="F8" s="4" t="s">
        <v>90</v>
      </c>
      <c r="G8" s="4" t="s">
        <v>88</v>
      </c>
      <c r="H8" s="4" t="s">
        <v>88</v>
      </c>
      <c r="I8" s="5">
        <v>44910</v>
      </c>
      <c r="J8" s="5">
        <v>46371</v>
      </c>
      <c r="K8" s="5">
        <v>47178</v>
      </c>
      <c r="L8">
        <v>3.25</v>
      </c>
      <c r="M8" t="s">
        <v>30</v>
      </c>
      <c r="N8" t="s">
        <v>55</v>
      </c>
      <c r="O8" s="5"/>
      <c r="P8" s="5"/>
      <c r="Q8" s="6" t="s">
        <v>33</v>
      </c>
      <c r="R8" s="4" t="s">
        <v>63</v>
      </c>
      <c r="S8" t="s">
        <v>43</v>
      </c>
      <c r="T8" t="s">
        <v>44</v>
      </c>
      <c r="U8" t="s">
        <v>64</v>
      </c>
    </row>
    <row r="9" spans="1:21" ht="38.4" customHeight="1" x14ac:dyDescent="0.35">
      <c r="A9" s="3" t="s">
        <v>12</v>
      </c>
      <c r="B9" s="3" t="s">
        <v>82</v>
      </c>
      <c r="C9" s="3" t="s">
        <v>29</v>
      </c>
      <c r="D9" s="3">
        <v>0.08</v>
      </c>
      <c r="E9" s="3">
        <f t="shared" si="0"/>
        <v>80000</v>
      </c>
      <c r="F9" s="4" t="s">
        <v>90</v>
      </c>
      <c r="G9" s="4" t="s">
        <v>88</v>
      </c>
      <c r="H9" s="4" t="s">
        <v>88</v>
      </c>
      <c r="I9" s="5">
        <v>44910</v>
      </c>
      <c r="J9" s="5">
        <v>46371</v>
      </c>
      <c r="K9" s="5">
        <v>47056</v>
      </c>
      <c r="L9">
        <v>4.62</v>
      </c>
      <c r="M9" t="s">
        <v>46</v>
      </c>
      <c r="N9" t="s">
        <v>51</v>
      </c>
      <c r="O9" s="7" t="s">
        <v>65</v>
      </c>
      <c r="P9" s="7" t="s">
        <v>66</v>
      </c>
      <c r="Q9" s="6" t="s">
        <v>4</v>
      </c>
      <c r="R9" s="4" t="s">
        <v>67</v>
      </c>
      <c r="S9" t="s">
        <v>43</v>
      </c>
      <c r="T9" t="s">
        <v>44</v>
      </c>
      <c r="U9" t="s">
        <v>68</v>
      </c>
    </row>
    <row r="10" spans="1:21" ht="38.4" customHeight="1" x14ac:dyDescent="0.35">
      <c r="A10" s="3" t="s">
        <v>13</v>
      </c>
      <c r="B10" s="3" t="s">
        <v>82</v>
      </c>
      <c r="C10" s="3" t="s">
        <v>29</v>
      </c>
      <c r="D10" s="3">
        <v>0.08</v>
      </c>
      <c r="E10" s="3">
        <f t="shared" si="0"/>
        <v>80000</v>
      </c>
      <c r="F10" s="4" t="s">
        <v>90</v>
      </c>
      <c r="G10" s="4" t="s">
        <v>88</v>
      </c>
      <c r="H10" s="4" t="s">
        <v>88</v>
      </c>
      <c r="I10" s="5">
        <v>44910</v>
      </c>
      <c r="J10" s="5">
        <v>46371</v>
      </c>
      <c r="K10" s="5">
        <v>47710</v>
      </c>
      <c r="L10">
        <v>5.15</v>
      </c>
      <c r="M10" t="s">
        <v>50</v>
      </c>
      <c r="N10" t="s">
        <v>79</v>
      </c>
      <c r="O10" s="5"/>
      <c r="P10" s="5"/>
      <c r="Q10" s="6" t="s">
        <v>8</v>
      </c>
      <c r="R10" s="4" t="s">
        <v>69</v>
      </c>
      <c r="S10" t="s">
        <v>43</v>
      </c>
      <c r="T10" t="s">
        <v>44</v>
      </c>
      <c r="U10" t="s">
        <v>70</v>
      </c>
    </row>
    <row r="11" spans="1:21" ht="38.4" customHeight="1" x14ac:dyDescent="0.35">
      <c r="A11" s="3" t="s">
        <v>14</v>
      </c>
      <c r="B11" s="3" t="s">
        <v>82</v>
      </c>
      <c r="C11" s="3" t="s">
        <v>29</v>
      </c>
      <c r="D11" s="3">
        <v>0.08</v>
      </c>
      <c r="E11" s="3">
        <f t="shared" si="0"/>
        <v>80000</v>
      </c>
      <c r="F11" s="4" t="s">
        <v>90</v>
      </c>
      <c r="G11" s="4" t="s">
        <v>88</v>
      </c>
      <c r="H11" s="4" t="s">
        <v>88</v>
      </c>
      <c r="I11" s="5">
        <v>44910</v>
      </c>
      <c r="J11" s="5">
        <v>46037</v>
      </c>
      <c r="K11" s="5">
        <v>46113</v>
      </c>
      <c r="L11">
        <v>3.25</v>
      </c>
      <c r="M11" t="s">
        <v>30</v>
      </c>
      <c r="N11" t="s">
        <v>31</v>
      </c>
      <c r="O11" s="5"/>
      <c r="P11" s="5"/>
      <c r="Q11" s="6" t="s">
        <v>33</v>
      </c>
      <c r="R11" s="4" t="s">
        <v>71</v>
      </c>
      <c r="S11" t="s">
        <v>35</v>
      </c>
      <c r="T11" t="s">
        <v>36</v>
      </c>
      <c r="U11" t="s">
        <v>72</v>
      </c>
    </row>
    <row r="12" spans="1:21" ht="38.4" customHeight="1" x14ac:dyDescent="0.35">
      <c r="A12" s="3" t="s">
        <v>15</v>
      </c>
      <c r="B12" s="3" t="s">
        <v>82</v>
      </c>
      <c r="C12" s="3" t="s">
        <v>29</v>
      </c>
      <c r="D12" s="3">
        <v>0.08</v>
      </c>
      <c r="E12" s="3">
        <f t="shared" si="0"/>
        <v>80000</v>
      </c>
      <c r="F12" s="4" t="s">
        <v>90</v>
      </c>
      <c r="G12" s="4" t="s">
        <v>88</v>
      </c>
      <c r="H12" s="4" t="s">
        <v>88</v>
      </c>
      <c r="I12" s="5">
        <v>44910</v>
      </c>
      <c r="J12" s="5">
        <v>46371</v>
      </c>
      <c r="K12" s="5">
        <v>46402</v>
      </c>
      <c r="L12">
        <v>2.95</v>
      </c>
      <c r="M12" t="s">
        <v>38</v>
      </c>
      <c r="N12" t="s">
        <v>39</v>
      </c>
      <c r="O12" s="5"/>
      <c r="P12" s="5"/>
      <c r="Q12" s="6" t="s">
        <v>41</v>
      </c>
      <c r="R12" s="4" t="s">
        <v>73</v>
      </c>
      <c r="S12" t="s">
        <v>35</v>
      </c>
      <c r="T12" t="s">
        <v>36</v>
      </c>
      <c r="U12" t="s">
        <v>74</v>
      </c>
    </row>
    <row r="13" spans="1:21" ht="38.4" customHeight="1" x14ac:dyDescent="0.35">
      <c r="A13" s="3" t="s">
        <v>16</v>
      </c>
      <c r="B13" s="3" t="s">
        <v>82</v>
      </c>
      <c r="C13" s="3" t="s">
        <v>29</v>
      </c>
      <c r="D13" s="3">
        <v>0.08</v>
      </c>
      <c r="E13" s="3">
        <f t="shared" si="0"/>
        <v>80000</v>
      </c>
      <c r="F13" s="4" t="s">
        <v>90</v>
      </c>
      <c r="G13" s="4" t="s">
        <v>88</v>
      </c>
      <c r="H13" s="4" t="s">
        <v>88</v>
      </c>
      <c r="I13" s="5">
        <v>44910</v>
      </c>
      <c r="J13" s="5">
        <v>46371</v>
      </c>
      <c r="K13" s="5">
        <v>47088</v>
      </c>
      <c r="L13">
        <v>2.95</v>
      </c>
      <c r="M13" t="s">
        <v>46</v>
      </c>
      <c r="N13" t="s">
        <v>51</v>
      </c>
      <c r="O13" s="5"/>
      <c r="P13" s="5"/>
      <c r="Q13" s="6" t="s">
        <v>4</v>
      </c>
      <c r="R13" s="4" t="s">
        <v>75</v>
      </c>
      <c r="S13" t="s">
        <v>43</v>
      </c>
      <c r="T13" t="s">
        <v>44</v>
      </c>
      <c r="U13" t="s">
        <v>76</v>
      </c>
    </row>
    <row r="14" spans="1:21" ht="38.4" customHeight="1" x14ac:dyDescent="0.35">
      <c r="A14" s="3" t="s">
        <v>17</v>
      </c>
      <c r="B14" s="3" t="s">
        <v>82</v>
      </c>
      <c r="C14" s="3" t="s">
        <v>29</v>
      </c>
      <c r="D14" s="3">
        <v>0.16500000000000001</v>
      </c>
      <c r="E14" s="3">
        <f t="shared" si="0"/>
        <v>165000</v>
      </c>
      <c r="F14" s="4" t="s">
        <v>90</v>
      </c>
      <c r="G14" s="4" t="s">
        <v>88</v>
      </c>
      <c r="H14" s="4" t="s">
        <v>88</v>
      </c>
      <c r="I14" s="5">
        <v>44910</v>
      </c>
      <c r="J14" s="5">
        <v>46371</v>
      </c>
      <c r="K14" s="5">
        <v>47319</v>
      </c>
      <c r="L14">
        <v>4.6399999999999997</v>
      </c>
      <c r="M14" t="s">
        <v>46</v>
      </c>
      <c r="N14" t="s">
        <v>55</v>
      </c>
      <c r="O14" s="5"/>
      <c r="P14" s="5"/>
      <c r="Q14" s="6" t="s">
        <v>4</v>
      </c>
      <c r="R14" s="4" t="s">
        <v>77</v>
      </c>
      <c r="S14" t="s">
        <v>43</v>
      </c>
      <c r="T14" t="s">
        <v>44</v>
      </c>
      <c r="U14" t="s">
        <v>78</v>
      </c>
    </row>
    <row r="15" spans="1:21" ht="38.4" customHeight="1" x14ac:dyDescent="0.35">
      <c r="A15" s="3" t="s">
        <v>3</v>
      </c>
      <c r="B15" s="3" t="s">
        <v>83</v>
      </c>
      <c r="C15" s="3" t="s">
        <v>29</v>
      </c>
      <c r="D15" s="3">
        <v>0.08</v>
      </c>
      <c r="E15" s="3">
        <v>86400</v>
      </c>
      <c r="F15" s="4" t="s">
        <v>90</v>
      </c>
      <c r="G15" s="4" t="s">
        <v>88</v>
      </c>
      <c r="H15" s="4" t="s">
        <v>89</v>
      </c>
      <c r="I15" s="5">
        <v>44910</v>
      </c>
      <c r="J15" s="5">
        <v>46371</v>
      </c>
      <c r="K15" s="5">
        <v>46513</v>
      </c>
      <c r="L15">
        <v>3.2</v>
      </c>
      <c r="M15" t="s">
        <v>30</v>
      </c>
      <c r="N15" t="s">
        <v>39</v>
      </c>
      <c r="O15" t="s">
        <v>32</v>
      </c>
      <c r="Q15" s="6" t="s">
        <v>33</v>
      </c>
      <c r="R15" s="4" t="s">
        <v>34</v>
      </c>
      <c r="S15" t="s">
        <v>35</v>
      </c>
      <c r="T15" t="s">
        <v>36</v>
      </c>
      <c r="U15" t="s">
        <v>37</v>
      </c>
    </row>
    <row r="16" spans="1:21" ht="38.4" customHeight="1" x14ac:dyDescent="0.35">
      <c r="A16" s="3" t="s">
        <v>5</v>
      </c>
      <c r="B16" s="3" t="s">
        <v>83</v>
      </c>
      <c r="C16" s="3" t="s">
        <v>29</v>
      </c>
      <c r="D16" s="3">
        <v>0.08</v>
      </c>
      <c r="E16" s="3">
        <v>86400</v>
      </c>
      <c r="F16" s="4" t="s">
        <v>90</v>
      </c>
      <c r="G16" s="4" t="s">
        <v>88</v>
      </c>
      <c r="H16" s="4" t="s">
        <v>89</v>
      </c>
      <c r="I16" s="5">
        <v>44910</v>
      </c>
      <c r="J16" s="5">
        <v>46371</v>
      </c>
      <c r="K16" s="5">
        <v>46795</v>
      </c>
      <c r="L16">
        <v>3.125</v>
      </c>
      <c r="M16" t="s">
        <v>38</v>
      </c>
      <c r="N16" t="s">
        <v>51</v>
      </c>
      <c r="O16" t="s">
        <v>40</v>
      </c>
      <c r="Q16" s="6" t="s">
        <v>41</v>
      </c>
      <c r="R16" s="4" t="s">
        <v>42</v>
      </c>
      <c r="S16" t="s">
        <v>43</v>
      </c>
      <c r="T16" t="s">
        <v>44</v>
      </c>
      <c r="U16" t="s">
        <v>45</v>
      </c>
    </row>
    <row r="17" spans="1:21" ht="38.4" customHeight="1" x14ac:dyDescent="0.35">
      <c r="A17" s="3" t="s">
        <v>6</v>
      </c>
      <c r="B17" s="3" t="s">
        <v>83</v>
      </c>
      <c r="C17" s="3" t="s">
        <v>29</v>
      </c>
      <c r="D17" s="3">
        <v>0.08</v>
      </c>
      <c r="E17" s="3">
        <v>86400</v>
      </c>
      <c r="F17" s="4" t="s">
        <v>90</v>
      </c>
      <c r="G17" s="4" t="s">
        <v>88</v>
      </c>
      <c r="H17" s="4" t="s">
        <v>89</v>
      </c>
      <c r="I17" s="5">
        <v>44910</v>
      </c>
      <c r="J17" s="5">
        <v>46037</v>
      </c>
      <c r="K17" s="5">
        <v>46188</v>
      </c>
      <c r="L17">
        <v>3.2</v>
      </c>
      <c r="M17" t="s">
        <v>46</v>
      </c>
      <c r="N17" t="s">
        <v>31</v>
      </c>
      <c r="O17" t="s">
        <v>47</v>
      </c>
      <c r="Q17" s="6" t="s">
        <v>4</v>
      </c>
      <c r="R17" s="4" t="s">
        <v>48</v>
      </c>
      <c r="S17" t="s">
        <v>35</v>
      </c>
      <c r="T17" t="s">
        <v>36</v>
      </c>
      <c r="U17" t="s">
        <v>49</v>
      </c>
    </row>
    <row r="18" spans="1:21" ht="38.4" customHeight="1" x14ac:dyDescent="0.35">
      <c r="A18" s="3" t="s">
        <v>7</v>
      </c>
      <c r="B18" s="3" t="s">
        <v>83</v>
      </c>
      <c r="C18" s="3" t="s">
        <v>29</v>
      </c>
      <c r="D18" s="3">
        <v>0.08</v>
      </c>
      <c r="E18" s="3">
        <v>86400</v>
      </c>
      <c r="F18" s="4" t="s">
        <v>90</v>
      </c>
      <c r="G18" s="4" t="s">
        <v>88</v>
      </c>
      <c r="H18" s="4" t="s">
        <v>89</v>
      </c>
      <c r="I18" s="5">
        <v>44910</v>
      </c>
      <c r="J18" s="5">
        <v>46371</v>
      </c>
      <c r="K18" s="5">
        <v>47442</v>
      </c>
      <c r="L18">
        <v>7.85</v>
      </c>
      <c r="M18" t="s">
        <v>50</v>
      </c>
      <c r="N18" t="s">
        <v>55</v>
      </c>
      <c r="O18" s="7" t="s">
        <v>52</v>
      </c>
      <c r="P18" s="7"/>
      <c r="Q18" s="6" t="s">
        <v>8</v>
      </c>
      <c r="R18" s="4" t="s">
        <v>53</v>
      </c>
      <c r="S18" t="s">
        <v>43</v>
      </c>
      <c r="T18" t="s">
        <v>44</v>
      </c>
      <c r="U18" t="s">
        <v>54</v>
      </c>
    </row>
    <row r="19" spans="1:21" ht="38.4" customHeight="1" x14ac:dyDescent="0.35">
      <c r="A19" s="3" t="s">
        <v>9</v>
      </c>
      <c r="B19" s="3" t="s">
        <v>83</v>
      </c>
      <c r="C19" s="3" t="s">
        <v>29</v>
      </c>
      <c r="D19" s="3">
        <v>0.08</v>
      </c>
      <c r="E19" s="3">
        <v>86400</v>
      </c>
      <c r="F19" s="4" t="s">
        <v>90</v>
      </c>
      <c r="G19" s="4" t="s">
        <v>88</v>
      </c>
      <c r="H19" s="4" t="s">
        <v>89</v>
      </c>
      <c r="I19" s="5">
        <v>44910</v>
      </c>
      <c r="J19" s="5">
        <v>46371</v>
      </c>
      <c r="K19" s="5">
        <v>47736</v>
      </c>
      <c r="L19">
        <v>4.6399999999999997</v>
      </c>
      <c r="M19" t="s">
        <v>46</v>
      </c>
      <c r="N19" t="s">
        <v>79</v>
      </c>
      <c r="O19" s="5"/>
      <c r="P19" s="7" t="s">
        <v>56</v>
      </c>
      <c r="Q19" s="6" t="s">
        <v>4</v>
      </c>
      <c r="R19" s="4" t="s">
        <v>57</v>
      </c>
      <c r="S19" t="s">
        <v>43</v>
      </c>
      <c r="T19" t="s">
        <v>44</v>
      </c>
      <c r="U19" t="s">
        <v>58</v>
      </c>
    </row>
    <row r="20" spans="1:21" ht="38.4" customHeight="1" x14ac:dyDescent="0.35">
      <c r="A20" s="3" t="s">
        <v>10</v>
      </c>
      <c r="B20" s="3" t="s">
        <v>83</v>
      </c>
      <c r="C20" s="3" t="s">
        <v>29</v>
      </c>
      <c r="D20" s="3">
        <v>7.4999999999999997E-2</v>
      </c>
      <c r="E20" s="3">
        <v>81000</v>
      </c>
      <c r="F20" s="4" t="s">
        <v>90</v>
      </c>
      <c r="G20" s="4" t="s">
        <v>88</v>
      </c>
      <c r="H20" s="4" t="s">
        <v>89</v>
      </c>
      <c r="I20" s="5">
        <v>44910</v>
      </c>
      <c r="J20" s="5">
        <v>46371</v>
      </c>
      <c r="K20" s="5">
        <v>46645</v>
      </c>
      <c r="L20">
        <v>3.95</v>
      </c>
      <c r="M20" t="s">
        <v>30</v>
      </c>
      <c r="N20" t="s">
        <v>39</v>
      </c>
      <c r="O20" s="7" t="s">
        <v>59</v>
      </c>
      <c r="P20" s="7" t="s">
        <v>60</v>
      </c>
      <c r="Q20" s="6" t="s">
        <v>33</v>
      </c>
      <c r="R20" s="4" t="s">
        <v>61</v>
      </c>
      <c r="S20" t="s">
        <v>35</v>
      </c>
      <c r="T20" t="s">
        <v>36</v>
      </c>
      <c r="U20" t="s">
        <v>62</v>
      </c>
    </row>
    <row r="21" spans="1:21" ht="38.4" customHeight="1" x14ac:dyDescent="0.35">
      <c r="A21" s="3" t="s">
        <v>11</v>
      </c>
      <c r="B21" s="3" t="s">
        <v>83</v>
      </c>
      <c r="C21" s="3" t="s">
        <v>29</v>
      </c>
      <c r="D21" s="3">
        <v>0.04</v>
      </c>
      <c r="E21" s="3">
        <f t="shared" si="0"/>
        <v>40000</v>
      </c>
      <c r="F21" s="4" t="s">
        <v>90</v>
      </c>
      <c r="G21" s="4" t="s">
        <v>88</v>
      </c>
      <c r="H21" s="4" t="s">
        <v>88</v>
      </c>
      <c r="I21" s="5">
        <v>44910</v>
      </c>
      <c r="J21" s="5">
        <v>46371</v>
      </c>
      <c r="K21" s="5">
        <v>47178</v>
      </c>
      <c r="L21">
        <v>3.25</v>
      </c>
      <c r="M21" t="s">
        <v>30</v>
      </c>
      <c r="N21" t="s">
        <v>55</v>
      </c>
      <c r="O21" s="5"/>
      <c r="P21" s="5"/>
      <c r="Q21" s="6" t="s">
        <v>33</v>
      </c>
      <c r="R21" s="4" t="s">
        <v>63</v>
      </c>
      <c r="S21" t="s">
        <v>43</v>
      </c>
      <c r="T21" t="s">
        <v>44</v>
      </c>
      <c r="U21" t="s">
        <v>64</v>
      </c>
    </row>
    <row r="22" spans="1:21" ht="38.4" customHeight="1" x14ac:dyDescent="0.35">
      <c r="A22" s="3" t="s">
        <v>12</v>
      </c>
      <c r="B22" s="3" t="s">
        <v>83</v>
      </c>
      <c r="C22" s="3" t="s">
        <v>29</v>
      </c>
      <c r="D22" s="3">
        <v>0.09</v>
      </c>
      <c r="E22" s="3">
        <f t="shared" si="0"/>
        <v>90000</v>
      </c>
      <c r="F22" s="4" t="s">
        <v>90</v>
      </c>
      <c r="G22" s="4" t="s">
        <v>88</v>
      </c>
      <c r="H22" s="4" t="s">
        <v>88</v>
      </c>
      <c r="I22" s="5">
        <v>44910</v>
      </c>
      <c r="J22" s="5">
        <v>46371</v>
      </c>
      <c r="K22" s="5">
        <v>47056</v>
      </c>
      <c r="L22">
        <v>4.62</v>
      </c>
      <c r="M22" t="s">
        <v>46</v>
      </c>
      <c r="N22" t="s">
        <v>51</v>
      </c>
      <c r="O22" s="7" t="s">
        <v>65</v>
      </c>
      <c r="P22" s="7" t="s">
        <v>66</v>
      </c>
      <c r="Q22" s="6" t="s">
        <v>4</v>
      </c>
      <c r="R22" s="4" t="s">
        <v>67</v>
      </c>
      <c r="S22" t="s">
        <v>43</v>
      </c>
      <c r="T22" t="s">
        <v>44</v>
      </c>
      <c r="U22" t="s">
        <v>68</v>
      </c>
    </row>
    <row r="23" spans="1:21" ht="38.4" customHeight="1" x14ac:dyDescent="0.35">
      <c r="A23" s="3" t="s">
        <v>13</v>
      </c>
      <c r="B23" s="3" t="s">
        <v>83</v>
      </c>
      <c r="C23" s="3" t="s">
        <v>29</v>
      </c>
      <c r="D23" s="3">
        <v>0.02</v>
      </c>
      <c r="E23" s="3">
        <f t="shared" si="0"/>
        <v>20000</v>
      </c>
      <c r="F23" s="4" t="s">
        <v>90</v>
      </c>
      <c r="G23" s="4" t="s">
        <v>88</v>
      </c>
      <c r="H23" s="4" t="s">
        <v>88</v>
      </c>
      <c r="I23" s="5">
        <v>44910</v>
      </c>
      <c r="J23" s="5">
        <v>46371</v>
      </c>
      <c r="K23" s="5">
        <v>47710</v>
      </c>
      <c r="L23">
        <v>5.15</v>
      </c>
      <c r="M23" t="s">
        <v>50</v>
      </c>
      <c r="N23" t="s">
        <v>79</v>
      </c>
      <c r="O23" s="5"/>
      <c r="P23" s="5"/>
      <c r="Q23" s="6" t="s">
        <v>8</v>
      </c>
      <c r="R23" s="4" t="s">
        <v>69</v>
      </c>
      <c r="S23" t="s">
        <v>43</v>
      </c>
      <c r="T23" t="s">
        <v>44</v>
      </c>
      <c r="U23" t="s">
        <v>70</v>
      </c>
    </row>
    <row r="24" spans="1:21" ht="38.4" customHeight="1" x14ac:dyDescent="0.35">
      <c r="A24" s="3" t="s">
        <v>14</v>
      </c>
      <c r="B24" s="3" t="s">
        <v>83</v>
      </c>
      <c r="C24" s="3" t="s">
        <v>29</v>
      </c>
      <c r="D24" s="3">
        <v>0.05</v>
      </c>
      <c r="E24" s="3">
        <f t="shared" si="0"/>
        <v>50000</v>
      </c>
      <c r="F24" s="4" t="s">
        <v>90</v>
      </c>
      <c r="G24" s="4" t="s">
        <v>88</v>
      </c>
      <c r="H24" s="4" t="s">
        <v>88</v>
      </c>
      <c r="I24" s="5">
        <v>44910</v>
      </c>
      <c r="J24" s="5">
        <v>46037</v>
      </c>
      <c r="K24" s="5">
        <v>46113</v>
      </c>
      <c r="L24">
        <v>3.25</v>
      </c>
      <c r="M24" t="s">
        <v>30</v>
      </c>
      <c r="N24" t="s">
        <v>31</v>
      </c>
      <c r="O24" s="5"/>
      <c r="P24" s="5"/>
      <c r="Q24" s="6" t="s">
        <v>33</v>
      </c>
      <c r="R24" s="4" t="s">
        <v>71</v>
      </c>
      <c r="S24" t="s">
        <v>35</v>
      </c>
      <c r="T24" t="s">
        <v>36</v>
      </c>
      <c r="U24" t="s">
        <v>72</v>
      </c>
    </row>
    <row r="25" spans="1:21" ht="38.4" customHeight="1" x14ac:dyDescent="0.35">
      <c r="A25" s="3" t="s">
        <v>15</v>
      </c>
      <c r="B25" s="3" t="s">
        <v>83</v>
      </c>
      <c r="C25" s="3" t="s">
        <v>29</v>
      </c>
      <c r="D25" s="3">
        <v>7.4999999999999997E-2</v>
      </c>
      <c r="E25" s="3">
        <f t="shared" si="0"/>
        <v>75000</v>
      </c>
      <c r="F25" s="4" t="s">
        <v>90</v>
      </c>
      <c r="G25" s="4" t="s">
        <v>88</v>
      </c>
      <c r="H25" s="4" t="s">
        <v>88</v>
      </c>
      <c r="I25" s="5">
        <v>44910</v>
      </c>
      <c r="J25" s="5">
        <v>46371</v>
      </c>
      <c r="K25" s="5">
        <v>46402</v>
      </c>
      <c r="L25">
        <v>2.95</v>
      </c>
      <c r="M25" t="s">
        <v>38</v>
      </c>
      <c r="N25" t="s">
        <v>39</v>
      </c>
      <c r="O25" s="5"/>
      <c r="P25" s="5"/>
      <c r="Q25" s="6" t="s">
        <v>41</v>
      </c>
      <c r="R25" s="4" t="s">
        <v>73</v>
      </c>
      <c r="S25" t="s">
        <v>35</v>
      </c>
      <c r="T25" t="s">
        <v>36</v>
      </c>
      <c r="U25" t="s">
        <v>74</v>
      </c>
    </row>
    <row r="26" spans="1:21" ht="38.4" customHeight="1" x14ac:dyDescent="0.35">
      <c r="A26" s="3" t="s">
        <v>16</v>
      </c>
      <c r="B26" s="3" t="s">
        <v>83</v>
      </c>
      <c r="C26" s="3" t="s">
        <v>29</v>
      </c>
      <c r="D26" s="3">
        <v>0.04</v>
      </c>
      <c r="E26" s="3">
        <f t="shared" si="0"/>
        <v>40000</v>
      </c>
      <c r="F26" s="4" t="s">
        <v>90</v>
      </c>
      <c r="G26" s="4" t="s">
        <v>88</v>
      </c>
      <c r="H26" s="4" t="s">
        <v>88</v>
      </c>
      <c r="I26" s="5">
        <v>44910</v>
      </c>
      <c r="J26" s="5">
        <v>46371</v>
      </c>
      <c r="K26" s="5">
        <v>47088</v>
      </c>
      <c r="L26">
        <v>2.95</v>
      </c>
      <c r="M26" t="s">
        <v>46</v>
      </c>
      <c r="N26" t="s">
        <v>51</v>
      </c>
      <c r="O26" s="5"/>
      <c r="P26" s="5"/>
      <c r="Q26" s="6" t="s">
        <v>4</v>
      </c>
      <c r="R26" s="4" t="s">
        <v>75</v>
      </c>
      <c r="S26" t="s">
        <v>43</v>
      </c>
      <c r="T26" t="s">
        <v>44</v>
      </c>
      <c r="U26" t="s">
        <v>76</v>
      </c>
    </row>
    <row r="27" spans="1:21" ht="38.4" customHeight="1" x14ac:dyDescent="0.35">
      <c r="A27" s="3" t="s">
        <v>17</v>
      </c>
      <c r="B27" s="3" t="s">
        <v>83</v>
      </c>
      <c r="C27" s="3" t="s">
        <v>29</v>
      </c>
      <c r="D27" s="3">
        <v>0.21</v>
      </c>
      <c r="E27" s="3">
        <f t="shared" si="0"/>
        <v>210000</v>
      </c>
      <c r="F27" s="4" t="s">
        <v>90</v>
      </c>
      <c r="G27" s="4" t="s">
        <v>88</v>
      </c>
      <c r="H27" s="4" t="s">
        <v>88</v>
      </c>
      <c r="I27" s="5">
        <v>44910</v>
      </c>
      <c r="J27" s="5">
        <v>46371</v>
      </c>
      <c r="K27" s="5">
        <v>47319</v>
      </c>
      <c r="L27">
        <v>4.6399999999999997</v>
      </c>
      <c r="M27" t="s">
        <v>46</v>
      </c>
      <c r="N27" t="s">
        <v>55</v>
      </c>
      <c r="O27" s="5"/>
      <c r="P27" s="5"/>
      <c r="Q27" s="6" t="s">
        <v>4</v>
      </c>
      <c r="R27" s="4" t="s">
        <v>77</v>
      </c>
      <c r="S27" t="s">
        <v>43</v>
      </c>
      <c r="T27" t="s">
        <v>44</v>
      </c>
      <c r="U27" t="s">
        <v>78</v>
      </c>
    </row>
  </sheetData>
  <hyperlinks>
    <hyperlink ref="Q2" r:id="rId1" display="https://fred.stlouisfed.org/series/BAMLC0A2CAA" xr:uid="{4FBFEE28-09FD-4833-8592-1FA8635CDF42}"/>
    <hyperlink ref="Q3" r:id="rId2" display="https://fred.stlouisfed.org/series/BAMLC0A1CAAA" xr:uid="{342BCDB4-9584-4524-A277-28BF0F39AF67}"/>
    <hyperlink ref="Q4" r:id="rId3" display="https://fred.stlouisfed.org/series/BAMLC0A3CA" xr:uid="{2053F0C5-81CC-4420-8C57-0C1899F6A33D}"/>
    <hyperlink ref="Q5" r:id="rId4" display="https://fred.stlouisfed.org/series/BAMLC0A4CBBB" xr:uid="{DDFBBD1B-E575-4C3E-B3EC-B57F87B57383}"/>
    <hyperlink ref="Q6" r:id="rId5" display="https://fred.stlouisfed.org/series/BAMLC0A3CA" xr:uid="{07DFE3EB-323F-4D1C-BE11-F815158B7269}"/>
    <hyperlink ref="Q7" r:id="rId6" display="https://fred.stlouisfed.org/series/BAMLC0A2CAA" xr:uid="{CE655AEE-DC13-420C-889B-6631F3354993}"/>
    <hyperlink ref="Q8" r:id="rId7" display="https://fred.stlouisfed.org/series/BAMLC0A2CAA" xr:uid="{090BDB1B-5394-4204-885F-7E9E32F84503}"/>
    <hyperlink ref="Q9" r:id="rId8" display="https://fred.stlouisfed.org/series/BAMLC0A3CA" xr:uid="{2B9639AD-ECAA-4E93-ABE3-BC00CBD7994F}"/>
    <hyperlink ref="Q10" r:id="rId9" display="https://fred.stlouisfed.org/series/BAMLC0A4CBBB" xr:uid="{4CA1A4F6-77EA-421A-8DA2-874ABD6E9FC6}"/>
    <hyperlink ref="Q11" r:id="rId10" display="https://fred.stlouisfed.org/series/BAMLC0A2CAA" xr:uid="{980CF461-5B43-436B-8AEE-29ADAD005ED0}"/>
    <hyperlink ref="Q12" r:id="rId11" display="https://fred.stlouisfed.org/series/BAMLC0A1CAAA" xr:uid="{B3A30F81-2342-43D1-B608-5097D997FA61}"/>
    <hyperlink ref="Q13" r:id="rId12" display="https://fred.stlouisfed.org/series/BAMLC0A3CA" xr:uid="{FB344F09-A986-4F65-8AEC-FE252EC2B399}"/>
    <hyperlink ref="Q14" r:id="rId13" display="https://fred.stlouisfed.org/series/BAMLC0A3CA" xr:uid="{E4B04386-ADF7-48F4-842F-615858B6AED7}"/>
    <hyperlink ref="Q15" r:id="rId14" display="https://fred.stlouisfed.org/series/BAMLC0A2CAA" xr:uid="{7B89B6DB-8ED2-4D70-A63E-429B1DF3E21F}"/>
    <hyperlink ref="Q16" r:id="rId15" display="https://fred.stlouisfed.org/series/BAMLC0A1CAAA" xr:uid="{01CDC65E-FB01-456C-91FF-956038B45035}"/>
    <hyperlink ref="Q17" r:id="rId16" display="https://fred.stlouisfed.org/series/BAMLC0A3CA" xr:uid="{441F8BA2-ED25-4267-B9EC-56FAF1480199}"/>
    <hyperlink ref="Q18" r:id="rId17" display="https://fred.stlouisfed.org/series/BAMLC0A4CBBB" xr:uid="{945355B7-B910-4FEA-9C37-B89BFB4D9C91}"/>
    <hyperlink ref="Q19" r:id="rId18" display="https://fred.stlouisfed.org/series/BAMLC0A3CA" xr:uid="{EF789AB5-9FA7-4275-ACBA-267764E3B12E}"/>
    <hyperlink ref="Q20" r:id="rId19" display="https://fred.stlouisfed.org/series/BAMLC0A2CAA" xr:uid="{CDB98118-1742-477B-AC32-5F8273DEA004}"/>
    <hyperlink ref="Q21" r:id="rId20" display="https://fred.stlouisfed.org/series/BAMLC0A2CAA" xr:uid="{AEEB4D26-1478-4D75-8E0C-695BEE38A5BE}"/>
    <hyperlink ref="Q22" r:id="rId21" display="https://fred.stlouisfed.org/series/BAMLC0A3CA" xr:uid="{EE618BBD-C17C-4062-977C-6A1B7BC87D12}"/>
    <hyperlink ref="Q23" r:id="rId22" display="https://fred.stlouisfed.org/series/BAMLC0A4CBBB" xr:uid="{077C0441-3A71-49A3-9A45-C3E3417308B5}"/>
    <hyperlink ref="Q24" r:id="rId23" display="https://fred.stlouisfed.org/series/BAMLC0A2CAA" xr:uid="{513BEDAB-7AE6-4342-B9D1-43AC5F88FF4F}"/>
    <hyperlink ref="Q25" r:id="rId24" display="https://fred.stlouisfed.org/series/BAMLC0A1CAAA" xr:uid="{52871882-F751-4BA6-8D15-184712FE81D7}"/>
    <hyperlink ref="Q26" r:id="rId25" display="https://fred.stlouisfed.org/series/BAMLC0A3CA" xr:uid="{91DFD1E7-ABEE-40CB-8C91-18AE64C9722A}"/>
    <hyperlink ref="Q27" r:id="rId26" display="https://fred.stlouisfed.org/series/BAMLC0A3CA" xr:uid="{23CDF9A5-0D05-479E-BA4C-3F9853D3AA41}"/>
  </hyperlinks>
  <pageMargins left="0.7" right="0.7" top="0.75" bottom="0.75" header="0.3" footer="0.3"/>
  <pageSetup paperSize="9" orientation="portrait" r:id="rId2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0383A-B433-48CC-B7EC-10AC1E16C136}">
  <dimension ref="F4:J5"/>
  <sheetViews>
    <sheetView workbookViewId="0">
      <selection activeCell="J6" sqref="J6"/>
    </sheetView>
  </sheetViews>
  <sheetFormatPr defaultRowHeight="14.5" x14ac:dyDescent="0.35"/>
  <sheetData>
    <row r="4" spans="6:10" x14ac:dyDescent="0.35">
      <c r="J4">
        <f>1-0.835</f>
        <v>0.16500000000000004</v>
      </c>
    </row>
    <row r="5" spans="6:10" x14ac:dyDescent="0.35">
      <c r="F5">
        <f>1/13</f>
        <v>7.6923076923076927E-2</v>
      </c>
      <c r="J5">
        <f>1-0.79</f>
        <v>0.20999999999999996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2025-05-10T15:50:31Z</dcterms:created>
  <dcterms:modified xsi:type="dcterms:W3CDTF">2025-12-28T13:12:10Z</dcterms:modified>
</cp:coreProperties>
</file>